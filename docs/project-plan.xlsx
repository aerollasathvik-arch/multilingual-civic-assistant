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Tasks" sheetId="2" state="visible" r:id="rId2"/>
    <sheet name="Week 4 results" sheetId="3" state="visible" r:id="rId3"/>
    <sheet name="Risks" sheetId="4" state="visible" r:id="rId4"/>
  </sheets>
  <definedNames>
    <definedName name="_xlnm._FilterDatabase" localSheetId="1" hidden="1">'Tasks'!$A$1:$E$45</definedName>
  </definedNames>
  <calcPr calcId="124519" fullCalcOnLoad="1"/>
</workbook>
</file>

<file path=xl/styles.xml><?xml version="1.0" encoding="utf-8"?>
<styleSheet xmlns="http://schemas.openxmlformats.org/spreadsheetml/2006/main">
  <numFmts count="3">
    <numFmt numFmtId="164" formatCode="yyyy-mm-dd"/>
    <numFmt numFmtId="165" formatCode="ddd dd mmm yyyy"/>
    <numFmt numFmtId="166" formatCode="0.000"/>
  </numFmts>
  <fonts count="6">
    <font>
      <name val="Calibri"/>
      <family val="2"/>
      <color theme="1"/>
      <sz val="11"/>
      <scheme val="minor"/>
    </font>
    <font>
      <name val="Arial"/>
      <b val="1"/>
      <color rgb="001F3864"/>
      <sz val="14"/>
    </font>
    <font>
      <name val="Arial"/>
      <i val="1"/>
      <color rgb="00595959"/>
      <sz val="10"/>
    </font>
    <font>
      <name val="Arial"/>
      <b val="1"/>
      <color rgb="00FFFFFF"/>
      <sz val="10"/>
    </font>
    <font>
      <name val="Arial"/>
      <sz val="10"/>
    </font>
    <font>
      <name val="Arial"/>
      <b val="1"/>
      <sz val="10"/>
    </font>
  </fonts>
  <fills count="8">
    <fill>
      <patternFill/>
    </fill>
    <fill>
      <patternFill patternType="gray125"/>
    </fill>
    <fill>
      <patternFill patternType="solid">
        <fgColor rgb="001F3864"/>
      </patternFill>
    </fill>
    <fill>
      <patternFill patternType="solid">
        <fgColor rgb="00F2F5FA"/>
      </patternFill>
    </fill>
    <fill>
      <patternFill patternType="solid">
        <fgColor rgb="00FFF2CC"/>
      </patternFill>
    </fill>
    <fill>
      <patternFill patternType="solid">
        <fgColor rgb="00C6EFCE"/>
      </patternFill>
    </fill>
    <fill>
      <patternFill patternType="solid">
        <fgColor rgb="00FFEB9C"/>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165" fontId="4" fillId="0" borderId="1" applyAlignment="1" pivotButton="0" quotePrefix="0" xfId="0">
      <alignment vertical="top" wrapText="1"/>
    </xf>
    <xf numFmtId="0" fontId="4" fillId="3" borderId="1" applyAlignment="1" pivotButton="0" quotePrefix="0" xfId="0">
      <alignment vertical="top" wrapText="1"/>
    </xf>
    <xf numFmtId="165" fontId="4" fillId="3" borderId="1" applyAlignment="1" pivotButton="0" quotePrefix="0" xfId="0">
      <alignment vertical="top" wrapText="1"/>
    </xf>
    <xf numFmtId="0" fontId="4" fillId="4" borderId="1" applyAlignment="1" pivotButton="0" quotePrefix="0" xfId="0">
      <alignment vertical="top" wrapText="1"/>
    </xf>
    <xf numFmtId="165" fontId="4" fillId="4" borderId="1" applyAlignment="1" pivotButton="0" quotePrefix="0" xfId="0">
      <alignment vertical="top" wrapText="1"/>
    </xf>
    <xf numFmtId="0" fontId="5" fillId="0" borderId="0" pivotButton="0" quotePrefix="0" xfId="0"/>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166" fontId="4" fillId="0" borderId="1" applyAlignment="1" pivotButton="0" quotePrefix="0" xfId="0">
      <alignment vertical="top" wrapText="1"/>
    </xf>
    <xf numFmtId="166"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7" customWidth="1" min="1" max="1"/>
    <col width="12" customWidth="1" min="2" max="2"/>
    <col width="12" customWidth="1" min="3" max="3"/>
    <col width="34" customWidth="1" min="4" max="4"/>
    <col width="70" customWidth="1" min="5" max="5"/>
    <col width="9" customWidth="1" min="6" max="6"/>
    <col width="8" customWidth="1" min="7" max="7"/>
  </cols>
  <sheetData>
    <row r="1">
      <c r="A1" s="1" t="inlineStr">
        <is>
          <t>A Multilingual AI Assistant for Accessing Health, Housing, and Schooling Information</t>
        </is>
      </c>
    </row>
    <row r="2">
      <c r="A2" s="2" t="inlineStr">
        <is>
          <t>12-week plan. Week 1 starts Mon 05 Oct 2026; current week is 4 (highlighted). Task status lives on the Tasks sheet.</t>
        </is>
      </c>
    </row>
    <row r="4" ht="24" customHeight="1">
      <c r="A4" s="3" t="inlineStr">
        <is>
          <t>Week</t>
        </is>
      </c>
      <c r="B4" s="3" t="inlineStr">
        <is>
          <t>Start</t>
        </is>
      </c>
      <c r="C4" s="3" t="inlineStr">
        <is>
          <t>End</t>
        </is>
      </c>
      <c r="D4" s="3" t="inlineStr">
        <is>
          <t>Theme</t>
        </is>
      </c>
      <c r="E4" s="3" t="inlineStr">
        <is>
          <t>Deliverable</t>
        </is>
      </c>
      <c r="F4" s="3" t="inlineStr">
        <is>
          <t>Done</t>
        </is>
      </c>
      <c r="G4" s="3" t="inlineStr">
        <is>
          <t>Tasks</t>
        </is>
      </c>
    </row>
    <row r="5">
      <c r="A5" s="4" t="n">
        <v>1</v>
      </c>
      <c r="B5" s="5" t="n">
        <v>46300</v>
      </c>
      <c r="C5" s="5" t="n">
        <v>46306</v>
      </c>
      <c r="D5" s="4" t="inlineStr">
        <is>
          <t>Scope and research design</t>
        </is>
      </c>
      <c r="E5" s="4" t="inlineStr">
        <is>
          <t>Research question, objectives, scope (England), target languages, metrics, ethics pre-screen, repo</t>
        </is>
      </c>
      <c r="F5" s="4">
        <f>COUNTIFS(Tasks!$A:$A,A5,Tasks!$E:$E,"Done")</f>
        <v/>
      </c>
      <c r="G5" s="4">
        <f>COUNTIF(Tasks!$A:$A,A5)</f>
        <v/>
      </c>
    </row>
    <row r="6">
      <c r="A6" s="6" t="n">
        <v>2</v>
      </c>
      <c r="B6" s="7" t="n">
        <v>46307</v>
      </c>
      <c r="C6" s="7" t="n">
        <v>46313</v>
      </c>
      <c r="D6" s="6" t="inlineStr">
        <is>
          <t>Literature and architecture</t>
        </is>
      </c>
      <c r="E6" s="6" t="inlineStr">
        <is>
          <t>Verified reading list, system architecture, tool and licence choices</t>
        </is>
      </c>
      <c r="F6" s="6">
        <f>COUNTIFS(Tasks!$A:$A,A6,Tasks!$E:$E,"Done")</f>
        <v/>
      </c>
      <c r="G6" s="6">
        <f>COUNTIF(Tasks!$A:$A,A6)</f>
        <v/>
      </c>
    </row>
    <row r="7">
      <c r="A7" s="4" t="n">
        <v>3</v>
      </c>
      <c r="B7" s="5" t="n">
        <v>46314</v>
      </c>
      <c r="C7" s="5" t="n">
        <v>46320</v>
      </c>
      <c r="D7" s="4" t="inlineStr">
        <is>
          <t>Corpus collection</t>
        </is>
      </c>
      <c r="E7" s="4" t="inlineStr">
        <is>
          <t>38 official pages ingested with raw snapshots and a data card</t>
        </is>
      </c>
      <c r="F7" s="4">
        <f>COUNTIFS(Tasks!$A:$A,A7,Tasks!$E:$E,"Done")</f>
        <v/>
      </c>
      <c r="G7" s="4">
        <f>COUNTIF(Tasks!$A:$A,A7)</f>
        <v/>
      </c>
    </row>
    <row r="8">
      <c r="A8" s="8" t="n">
        <v>4</v>
      </c>
      <c r="B8" s="9" t="n">
        <v>46321</v>
      </c>
      <c r="C8" s="9" t="n">
        <v>46327</v>
      </c>
      <c r="D8" s="8" t="inlineStr">
        <is>
          <t>Chunking, index and retrieval baseline</t>
        </is>
      </c>
      <c r="E8" s="8" t="inlineStr">
        <is>
          <t>Section chunks, multilingual FAISS index, 150-query retrieval experiment, failure analysis</t>
        </is>
      </c>
      <c r="F8" s="8">
        <f>COUNTIFS(Tasks!$A:$A,A8,Tasks!$E:$E,"Done")</f>
        <v/>
      </c>
      <c r="G8" s="8">
        <f>COUNTIF(Tasks!$A:$A,A8)</f>
        <v/>
      </c>
    </row>
    <row r="9">
      <c r="A9" s="4" t="n">
        <v>5</v>
      </c>
      <c r="B9" s="5" t="n">
        <v>46328</v>
      </c>
      <c r="C9" s="5" t="n">
        <v>46334</v>
      </c>
      <c r="D9" s="4" t="inlineStr">
        <is>
          <t>Translation layer and retrieval hardening</t>
        </is>
      </c>
      <c r="E9" s="4" t="inlineStr">
        <is>
          <t>Jurisdiction filter, language ID, translate-then-retrieve vs direct comparison, verified translations</t>
        </is>
      </c>
      <c r="F9" s="4">
        <f>COUNTIFS(Tasks!$A:$A,A9,Tasks!$E:$E,"Done")</f>
        <v/>
      </c>
      <c r="G9" s="4">
        <f>COUNTIF(Tasks!$A:$A,A9)</f>
        <v/>
      </c>
    </row>
    <row r="10">
      <c r="A10" s="6" t="n">
        <v>6</v>
      </c>
      <c r="B10" s="7" t="n">
        <v>46335</v>
      </c>
      <c r="C10" s="7" t="n">
        <v>46341</v>
      </c>
      <c r="D10" s="6" t="inlineStr">
        <is>
          <t>Grounded answer generation</t>
        </is>
      </c>
      <c r="E10" s="6" t="inlineStr">
        <is>
          <t>LLM answers only from retrieved sources with numbered citations, plain-language style, refusal rule</t>
        </is>
      </c>
      <c r="F10" s="6">
        <f>COUNTIFS(Tasks!$A:$A,A10,Tasks!$E:$E,"Done")</f>
        <v/>
      </c>
      <c r="G10" s="6">
        <f>COUNTIF(Tasks!$A:$A,A10)</f>
        <v/>
      </c>
    </row>
    <row r="11">
      <c r="A11" s="4" t="n">
        <v>7</v>
      </c>
      <c r="B11" s="5" t="n">
        <v>46342</v>
      </c>
      <c r="C11" s="5" t="n">
        <v>46348</v>
      </c>
      <c r="D11" s="4" t="inlineStr">
        <is>
          <t>Baseline and evaluation set</t>
        </is>
      </c>
      <c r="E11" s="4" t="inlineStr">
        <is>
          <t>Ungrounded LLM baseline, ~100-question gold set incl. unanswerable, scoring rubric, ethics approval</t>
        </is>
      </c>
      <c r="F11" s="4">
        <f>COUNTIFS(Tasks!$A:$A,A11,Tasks!$E:$E,"Done")</f>
        <v/>
      </c>
      <c r="G11" s="4">
        <f>COUNTIF(Tasks!$A:$A,A11)</f>
        <v/>
      </c>
    </row>
    <row r="12">
      <c r="A12" s="6" t="n">
        <v>8</v>
      </c>
      <c r="B12" s="7" t="n">
        <v>46349</v>
      </c>
      <c r="C12" s="7" t="n">
        <v>46355</v>
      </c>
      <c r="D12" s="6" t="inlineStr">
        <is>
          <t>Accessible front-end</t>
        </is>
      </c>
      <c r="E12" s="6" t="inlineStr">
        <is>
          <t>Web prototype with language picker, right-to-left support, citation display; participants recruited</t>
        </is>
      </c>
      <c r="F12" s="6">
        <f>COUNTIFS(Tasks!$A:$A,A12,Tasks!$E:$E,"Done")</f>
        <v/>
      </c>
      <c r="G12" s="6">
        <f>COUNTIF(Tasks!$A:$A,A12)</f>
        <v/>
      </c>
    </row>
    <row r="13">
      <c r="A13" s="4" t="n">
        <v>9</v>
      </c>
      <c r="B13" s="5" t="n">
        <v>46356</v>
      </c>
      <c r="C13" s="5" t="n">
        <v>46362</v>
      </c>
      <c r="D13" s="4" t="inlineStr">
        <is>
          <t>Evaluation runs and user study</t>
        </is>
      </c>
      <c r="E13" s="4" t="inlineStr">
        <is>
          <t>Grounded vs ungrounded scored; small user study run; corpus re-crawled to measure content drift</t>
        </is>
      </c>
      <c r="F13" s="4">
        <f>COUNTIFS(Tasks!$A:$A,A13,Tasks!$E:$E,"Done")</f>
        <v/>
      </c>
      <c r="G13" s="4">
        <f>COUNTIF(Tasks!$A:$A,A13)</f>
        <v/>
      </c>
    </row>
    <row r="14">
      <c r="A14" s="6" t="n">
        <v>10</v>
      </c>
      <c r="B14" s="7" t="n">
        <v>46363</v>
      </c>
      <c r="C14" s="7" t="n">
        <v>46369</v>
      </c>
      <c r="D14" s="6" t="inlineStr">
        <is>
          <t>Analysis and results write-up</t>
        </is>
      </c>
      <c r="E14" s="6" t="inlineStr">
        <is>
          <t>Results and discussion chapters with tables, figures and failure cases</t>
        </is>
      </c>
      <c r="F14" s="6">
        <f>COUNTIFS(Tasks!$A:$A,A14,Tasks!$E:$E,"Done")</f>
        <v/>
      </c>
      <c r="G14" s="6">
        <f>COUNTIF(Tasks!$A:$A,A14)</f>
        <v/>
      </c>
    </row>
    <row r="15">
      <c r="A15" s="4" t="n">
        <v>11</v>
      </c>
      <c r="B15" s="5" t="n">
        <v>46370</v>
      </c>
      <c r="C15" s="5" t="n">
        <v>46376</v>
      </c>
      <c r="D15" s="4" t="inlineStr">
        <is>
          <t>Full draft</t>
        </is>
      </c>
      <c r="E15" s="4" t="inlineStr">
        <is>
          <t>Introduction, literature review, method, ethics and limitations chapters; full draft to supervisor</t>
        </is>
      </c>
      <c r="F15" s="4">
        <f>COUNTIFS(Tasks!$A:$A,A15,Tasks!$E:$E,"Done")</f>
        <v/>
      </c>
      <c r="G15" s="4">
        <f>COUNTIF(Tasks!$A:$A,A15)</f>
        <v/>
      </c>
    </row>
    <row r="16">
      <c r="A16" s="6" t="n">
        <v>12</v>
      </c>
      <c r="B16" s="7" t="n">
        <v>46377</v>
      </c>
      <c r="C16" s="7" t="n">
        <v>46383</v>
      </c>
      <c r="D16" s="6" t="inlineStr">
        <is>
          <t>Revision and submission</t>
        </is>
      </c>
      <c r="E16" s="6" t="inlineStr">
        <is>
          <t>Supervisor feedback applied, demo video, packaged artefact, final submission</t>
        </is>
      </c>
      <c r="F16" s="6">
        <f>COUNTIFS(Tasks!$A:$A,A16,Tasks!$E:$E,"Done")</f>
        <v/>
      </c>
      <c r="G16" s="6">
        <f>COUNTIF(Tasks!$A:$A,A16)</f>
        <v/>
      </c>
    </row>
    <row r="17">
      <c r="E17" s="10" t="inlineStr">
        <is>
          <t>Total</t>
        </is>
      </c>
      <c r="F17" s="10">
        <f>SUM(F5:F16)</f>
        <v/>
      </c>
      <c r="G17" s="10">
        <f>SUM(G5:G16)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78" customWidth="1" min="3" max="3"/>
    <col width="34" customWidth="1" min="4" max="4"/>
    <col width="13" customWidth="1" min="5" max="5"/>
  </cols>
  <sheetData>
    <row r="1" ht="24" customHeight="1">
      <c r="A1" s="3" t="inlineStr">
        <is>
          <t>Week</t>
        </is>
      </c>
      <c r="B1" s="3" t="inlineStr">
        <is>
          <t>ID</t>
        </is>
      </c>
      <c r="C1" s="3" t="inlineStr">
        <is>
          <t>Task</t>
        </is>
      </c>
      <c r="D1" s="3" t="inlineStr">
        <is>
          <t>Output / evidence</t>
        </is>
      </c>
      <c r="E1" s="3" t="inlineStr">
        <is>
          <t>Status</t>
        </is>
      </c>
    </row>
    <row r="2">
      <c r="A2" s="4" t="n">
        <v>1</v>
      </c>
      <c r="B2" s="4" t="inlineStr">
        <is>
          <t>T01</t>
        </is>
      </c>
      <c r="C2" s="4" t="inlineStr">
        <is>
          <t>Fix research question, aim, objectives and scope (England only; health, housing, schools)</t>
        </is>
      </c>
      <c r="D2" s="4" t="inlineStr">
        <is>
          <t>docs/project-scope.md</t>
        </is>
      </c>
      <c r="E2" s="11" t="inlineStr">
        <is>
          <t>Done</t>
        </is>
      </c>
    </row>
    <row r="3">
      <c r="A3" s="4" t="n">
        <v>1</v>
      </c>
      <c r="B3" s="4" t="inlineStr">
        <is>
          <t>T02</t>
        </is>
      </c>
      <c r="C3" s="4" t="inlineStr">
        <is>
          <t>Choose target languages from evidence (ONS Census 2021 main languages)</t>
        </is>
      </c>
      <c r="D3" s="4" t="inlineStr">
        <is>
          <t>docs/project-scope.md</t>
        </is>
      </c>
      <c r="E3" s="11" t="inlineStr">
        <is>
          <t>Done</t>
        </is>
      </c>
    </row>
    <row r="4">
      <c r="A4" s="4" t="n">
        <v>1</v>
      </c>
      <c r="B4" s="4" t="inlineStr">
        <is>
          <t>T03</t>
        </is>
      </c>
      <c r="C4" s="4" t="inlineStr">
        <is>
          <t>Define metrics: retrieval hit@k/MRR, answer accuracy, hallucination rate, citation correctness, comprehension</t>
        </is>
      </c>
      <c r="D4" s="4" t="inlineStr">
        <is>
          <t>docs/evaluation-plan.md</t>
        </is>
      </c>
      <c r="E4" s="11" t="inlineStr">
        <is>
          <t>Done</t>
        </is>
      </c>
    </row>
    <row r="5">
      <c r="A5" s="4" t="n">
        <v>1</v>
      </c>
      <c r="B5" s="4" t="inlineStr">
        <is>
          <t>T04</t>
        </is>
      </c>
      <c r="C5" s="4" t="inlineStr">
        <is>
          <t>Ethics pre-screen for the user study and draft application</t>
        </is>
      </c>
      <c r="D5" s="4" t="inlineStr">
        <is>
          <t>docs/ethics-notes.md</t>
        </is>
      </c>
      <c r="E5" s="12" t="inlineStr">
        <is>
          <t>In progress</t>
        </is>
      </c>
    </row>
    <row r="6">
      <c r="A6" s="4" t="n">
        <v>1</v>
      </c>
      <c r="B6" s="4" t="inlineStr">
        <is>
          <t>T05</t>
        </is>
      </c>
      <c r="C6" s="4" t="inlineStr">
        <is>
          <t>Project repo, Python environment, pinned requirements</t>
        </is>
      </c>
      <c r="D6" s="4" t="inlineStr">
        <is>
          <t>requirements.txt</t>
        </is>
      </c>
      <c r="E6" s="11" t="inlineStr">
        <is>
          <t>Done</t>
        </is>
      </c>
    </row>
    <row r="7">
      <c r="A7" s="6" t="n">
        <v>2</v>
      </c>
      <c r="B7" s="6" t="inlineStr">
        <is>
          <t>T06</t>
        </is>
      </c>
      <c r="C7" s="6" t="inlineStr">
        <is>
          <t>Reading list on RAG, multilingual embeddings, MT and RAG evaluation (all references verified on arXiv)</t>
        </is>
      </c>
      <c r="D7" s="6" t="inlineStr">
        <is>
          <t>docs/literature-notes.md</t>
        </is>
      </c>
      <c r="E7" s="11" t="inlineStr">
        <is>
          <t>Done</t>
        </is>
      </c>
    </row>
    <row r="8">
      <c r="A8" s="6" t="n">
        <v>2</v>
      </c>
      <c r="B8" s="6" t="inlineStr">
        <is>
          <t>T07</t>
        </is>
      </c>
      <c r="C8" s="6" t="inlineStr">
        <is>
          <t>Architecture: ingest &gt; chunk &gt; embed &gt; index &gt; retrieve &gt; generate &gt; translate &gt; UI</t>
        </is>
      </c>
      <c r="D8" s="6" t="inlineStr">
        <is>
          <t>docs/architecture.md</t>
        </is>
      </c>
      <c r="E8" s="11" t="inlineStr">
        <is>
          <t>Done</t>
        </is>
      </c>
    </row>
    <row r="9">
      <c r="A9" s="6" t="n">
        <v>2</v>
      </c>
      <c r="B9" s="6" t="inlineStr">
        <is>
          <t>T08</t>
        </is>
      </c>
      <c r="C9" s="6" t="inlineStr">
        <is>
          <t>Tool selection with licences (e5 MIT, MiniLM Apache-2.0, FAISS MIT, NLLB CC-BY-NC-4.0)</t>
        </is>
      </c>
      <c r="D9" s="6" t="inlineStr">
        <is>
          <t>docs/architecture.md</t>
        </is>
      </c>
      <c r="E9" s="11" t="inlineStr">
        <is>
          <t>Done</t>
        </is>
      </c>
    </row>
    <row r="10">
      <c r="A10" s="6" t="n">
        <v>2</v>
      </c>
      <c r="B10" s="6" t="inlineStr">
        <is>
          <t>T09</t>
        </is>
      </c>
      <c r="C10" s="6" t="inlineStr">
        <is>
          <t>Source licensing check (Open Government Licence v3.0; nhs.uk reuse terms)</t>
        </is>
      </c>
      <c r="D10" s="6" t="inlineStr">
        <is>
          <t>docs/data-card.md</t>
        </is>
      </c>
      <c r="E10" s="11" t="inlineStr">
        <is>
          <t>Done</t>
        </is>
      </c>
    </row>
    <row r="11">
      <c r="A11" s="4" t="n">
        <v>3</v>
      </c>
      <c r="B11" s="4" t="inlineStr">
        <is>
          <t>T10</t>
        </is>
      </c>
      <c r="C11" s="4" t="inlineStr">
        <is>
          <t>Curate and live-validate source list: 26 GOV.UK + 12 NHS.uk pages</t>
        </is>
      </c>
      <c r="D11" s="4" t="inlineStr">
        <is>
          <t>src/sources.py</t>
        </is>
      </c>
      <c r="E11" s="11" t="inlineStr">
        <is>
          <t>Done</t>
        </is>
      </c>
    </row>
    <row r="12">
      <c r="A12" s="4" t="n">
        <v>3</v>
      </c>
      <c r="B12" s="4" t="inlineStr">
        <is>
          <t>T11</t>
        </is>
      </c>
      <c r="C12" s="4" t="inlineStr">
        <is>
          <t>Ingestion: GOV.UK Content API + NHS HTML, raw snapshots, fetch timestamp</t>
        </is>
      </c>
      <c r="D12" s="4" t="inlineStr">
        <is>
          <t>src/ingest.py</t>
        </is>
      </c>
      <c r="E12" s="11" t="inlineStr">
        <is>
          <t>Done</t>
        </is>
      </c>
    </row>
    <row r="13">
      <c r="A13" s="4" t="n">
        <v>3</v>
      </c>
      <c r="B13" s="4" t="inlineStr">
        <is>
          <t>T12</t>
        </is>
      </c>
      <c r="C13" s="4" t="inlineStr">
        <is>
          <t>Handle GOV.UK formats (guide, answer, local_transaction, transaction, detailed_guide) and NHS lead text</t>
        </is>
      </c>
      <c r="D13" s="4" t="inlineStr">
        <is>
          <t>src/ingest.py</t>
        </is>
      </c>
      <c r="E13" s="11" t="inlineStr">
        <is>
          <t>Done</t>
        </is>
      </c>
    </row>
    <row r="14">
      <c r="A14" s="4" t="n">
        <v>3</v>
      </c>
      <c r="B14" s="4" t="inlineStr">
        <is>
          <t>T13</t>
        </is>
      </c>
      <c r="C14" s="4" t="inlineStr">
        <is>
          <t>Data card: counts per domain, dates, currency caveats (Renters' Rights Act, 1 May 2026)</t>
        </is>
      </c>
      <c r="D14" s="4" t="inlineStr">
        <is>
          <t>docs/data-card.md</t>
        </is>
      </c>
      <c r="E14" s="11" t="inlineStr">
        <is>
          <t>Done</t>
        </is>
      </c>
    </row>
    <row r="15">
      <c r="A15" s="6" t="n">
        <v>4</v>
      </c>
      <c r="B15" s="6" t="inlineStr">
        <is>
          <t>T14</t>
        </is>
      </c>
      <c r="C15" s="6" t="inlineStr">
        <is>
          <t>Heading-aware chunking (40-200 words, 40-word overlap, title + heading prefix)</t>
        </is>
      </c>
      <c r="D15" s="6" t="inlineStr">
        <is>
          <t>src/chunk.py</t>
        </is>
      </c>
      <c r="E15" s="11" t="inlineStr">
        <is>
          <t>Done</t>
        </is>
      </c>
    </row>
    <row r="16">
      <c r="A16" s="6" t="n">
        <v>4</v>
      </c>
      <c r="B16" s="6" t="inlineStr">
        <is>
          <t>T15</t>
        </is>
      </c>
      <c r="C16" s="6" t="inlineStr">
        <is>
          <t>Multilingual embeddings (multilingual-e5-base) + FAISS index</t>
        </is>
      </c>
      <c r="D16" s="6" t="inlineStr">
        <is>
          <t>src/retrieval.py</t>
        </is>
      </c>
      <c r="E16" s="11" t="inlineStr">
        <is>
          <t>Done</t>
        </is>
      </c>
    </row>
    <row r="17">
      <c r="A17" s="6" t="n">
        <v>4</v>
      </c>
      <c r="B17" s="6" t="inlineStr">
        <is>
          <t>T16</t>
        </is>
      </c>
      <c r="C17" s="6" t="inlineStr">
        <is>
          <t>Test set: 30 questions x 5 languages, verbatim answer phrase checked on gold page</t>
        </is>
      </c>
      <c r="D17" s="6" t="inlineStr">
        <is>
          <t>eval/queries.csv</t>
        </is>
      </c>
      <c r="E17" s="11" t="inlineStr">
        <is>
          <t>Done</t>
        </is>
      </c>
    </row>
    <row r="18">
      <c r="A18" s="6" t="n">
        <v>4</v>
      </c>
      <c r="B18" s="6" t="inlineStr">
        <is>
          <t>T17</t>
        </is>
      </c>
      <c r="C18" s="6" t="inlineStr">
        <is>
          <t>Retrieval experiment: BM25 vs notebook set-up vs e5 sections vs MiniLM sections</t>
        </is>
      </c>
      <c r="D18" s="6" t="inlineStr">
        <is>
          <t>results/retrieval_by_lang.csv</t>
        </is>
      </c>
      <c r="E18" s="11" t="inlineStr">
        <is>
          <t>Done</t>
        </is>
      </c>
    </row>
    <row r="19">
      <c r="A19" s="6" t="n">
        <v>4</v>
      </c>
      <c r="B19" s="6" t="inlineStr">
        <is>
          <t>T18</t>
        </is>
      </c>
      <c r="C19" s="6" t="inlineStr">
        <is>
          <t>Failure analysis (wrong nation, strict answer phrase, Urdu weakest)</t>
        </is>
      </c>
      <c r="D19" s="6" t="inlineStr">
        <is>
          <t>docs/week-04-report.md</t>
        </is>
      </c>
      <c r="E19" s="11" t="inlineStr">
        <is>
          <t>Done</t>
        </is>
      </c>
    </row>
    <row r="20">
      <c r="A20" s="6" t="n">
        <v>4</v>
      </c>
      <c r="B20" s="6" t="inlineStr">
        <is>
          <t>T19</t>
        </is>
      </c>
      <c r="C20" s="6" t="inlineStr">
        <is>
          <t>Rebuild week 4 notebook on the project pipeline</t>
        </is>
      </c>
      <c r="D20" s="6" t="inlineStr">
        <is>
          <t>notebooks/week04_retrieval.ipynb</t>
        </is>
      </c>
      <c r="E20" s="11" t="inlineStr">
        <is>
          <t>Done</t>
        </is>
      </c>
    </row>
    <row r="21">
      <c r="A21" s="6" t="n">
        <v>4</v>
      </c>
      <c r="B21" s="6" t="inlineStr">
        <is>
          <t>T20</t>
        </is>
      </c>
      <c r="C21" s="6" t="inlineStr">
        <is>
          <t>Weekly progress report for supervisor</t>
        </is>
      </c>
      <c r="D21" s="6" t="inlineStr">
        <is>
          <t>docs/week-04-report.md</t>
        </is>
      </c>
      <c r="E21" s="11" t="inlineStr">
        <is>
          <t>Done</t>
        </is>
      </c>
    </row>
    <row r="22">
      <c r="A22" s="4" t="n">
        <v>5</v>
      </c>
      <c r="B22" s="4" t="inlineStr">
        <is>
          <t>T21</t>
        </is>
      </c>
      <c r="C22" s="4" t="inlineStr">
        <is>
          <t>Tag chunks by UK nation and filter to England by default</t>
        </is>
      </c>
      <c r="D22" s="4" t="inlineStr"/>
      <c r="E22" s="13" t="inlineStr">
        <is>
          <t>Not started</t>
        </is>
      </c>
    </row>
    <row r="23">
      <c r="A23" s="4" t="n">
        <v>5</v>
      </c>
      <c r="B23" s="4" t="inlineStr">
        <is>
          <t>T22</t>
        </is>
      </c>
      <c r="C23" s="4" t="inlineStr">
        <is>
          <t>Native-speaker check of pl/ro/ar/ur test questions</t>
        </is>
      </c>
      <c r="D23" s="4" t="inlineStr"/>
      <c r="E23" s="13" t="inlineStr">
        <is>
          <t>Not started</t>
        </is>
      </c>
    </row>
    <row r="24">
      <c r="A24" s="4" t="n">
        <v>5</v>
      </c>
      <c r="B24" s="4" t="inlineStr">
        <is>
          <t>T23</t>
        </is>
      </c>
      <c r="C24" s="4" t="inlineStr">
        <is>
          <t>Language identification of the user's question</t>
        </is>
      </c>
      <c r="D24" s="4" t="inlineStr"/>
      <c r="E24" s="13" t="inlineStr">
        <is>
          <t>Not started</t>
        </is>
      </c>
    </row>
    <row r="25">
      <c r="A25" s="4" t="n">
        <v>5</v>
      </c>
      <c r="B25" s="4" t="inlineStr">
        <is>
          <t>T24</t>
        </is>
      </c>
      <c r="C25" s="4" t="inlineStr">
        <is>
          <t>NLLB query translation; compare translate-then-retrieve vs direct multilingual retrieval</t>
        </is>
      </c>
      <c r="D25" s="4" t="inlineStr"/>
      <c r="E25" s="13" t="inlineStr">
        <is>
          <t>Not started</t>
        </is>
      </c>
    </row>
    <row r="26">
      <c r="A26" s="4" t="n">
        <v>5</v>
      </c>
      <c r="B26" s="4" t="inlineStr">
        <is>
          <t>T25</t>
        </is>
      </c>
      <c r="C26" s="4" t="inlineStr">
        <is>
          <t>Try a reranker on top-20 to close the page-vs-answer gap (hit@3 0.96 vs ans@3 0.67)</t>
        </is>
      </c>
      <c r="D26" s="4" t="inlineStr"/>
      <c r="E26" s="13" t="inlineStr">
        <is>
          <t>Not started</t>
        </is>
      </c>
    </row>
    <row r="27">
      <c r="A27" s="6" t="n">
        <v>6</v>
      </c>
      <c r="B27" s="6" t="inlineStr">
        <is>
          <t>T26</t>
        </is>
      </c>
      <c r="C27" s="6" t="inlineStr">
        <is>
          <t>Choose LLM API (multilingual quality, cost, data handling)</t>
        </is>
      </c>
      <c r="D27" s="6" t="inlineStr"/>
      <c r="E27" s="13" t="inlineStr">
        <is>
          <t>Not started</t>
        </is>
      </c>
    </row>
    <row r="28">
      <c r="A28" s="6" t="n">
        <v>6</v>
      </c>
      <c r="B28" s="6" t="inlineStr">
        <is>
          <t>T27</t>
        </is>
      </c>
      <c r="C28" s="6" t="inlineStr">
        <is>
          <t>Grounded prompt: answer only from sources, numbered citations with URLs, plain language</t>
        </is>
      </c>
      <c r="D28" s="6" t="inlineStr"/>
      <c r="E28" s="13" t="inlineStr">
        <is>
          <t>Not started</t>
        </is>
      </c>
    </row>
    <row r="29">
      <c r="A29" s="6" t="n">
        <v>6</v>
      </c>
      <c r="B29" s="6" t="inlineStr">
        <is>
          <t>T28</t>
        </is>
      </c>
      <c r="C29" s="6" t="inlineStr">
        <is>
          <t>Refusal rule for low retrieval score and out-of-scope questions</t>
        </is>
      </c>
      <c r="D29" s="6" t="inlineStr"/>
      <c r="E29" s="13" t="inlineStr">
        <is>
          <t>Not started</t>
        </is>
      </c>
    </row>
    <row r="30">
      <c r="A30" s="6" t="n">
        <v>6</v>
      </c>
      <c r="B30" s="6" t="inlineStr">
        <is>
          <t>T29</t>
        </is>
      </c>
      <c r="C30" s="6" t="inlineStr">
        <is>
          <t>Answer in user's language: LLM direct vs NLLB back-translation</t>
        </is>
      </c>
      <c r="D30" s="6" t="inlineStr"/>
      <c r="E30" s="13" t="inlineStr">
        <is>
          <t>Not started</t>
        </is>
      </c>
    </row>
    <row r="31">
      <c r="A31" s="4" t="n">
        <v>7</v>
      </c>
      <c r="B31" s="4" t="inlineStr">
        <is>
          <t>T30</t>
        </is>
      </c>
      <c r="C31" s="4" t="inlineStr">
        <is>
          <t>Ungrounded baseline: same LLM, no retrieved sources</t>
        </is>
      </c>
      <c r="D31" s="4" t="inlineStr"/>
      <c r="E31" s="13" t="inlineStr">
        <is>
          <t>Not started</t>
        </is>
      </c>
    </row>
    <row r="32">
      <c r="A32" s="4" t="n">
        <v>7</v>
      </c>
      <c r="B32" s="4" t="inlineStr">
        <is>
          <t>T31</t>
        </is>
      </c>
      <c r="C32" s="4" t="inlineStr">
        <is>
          <t>Gold set to ~100 questions with reference answers, incl. unanswerable ones</t>
        </is>
      </c>
      <c r="D32" s="4" t="inlineStr"/>
      <c r="E32" s="13" t="inlineStr">
        <is>
          <t>Not started</t>
        </is>
      </c>
    </row>
    <row r="33">
      <c r="A33" s="4" t="n">
        <v>7</v>
      </c>
      <c r="B33" s="4" t="inlineStr">
        <is>
          <t>T32</t>
        </is>
      </c>
      <c r="C33" s="4" t="inlineStr">
        <is>
          <t>Scoring rubric for accuracy, hallucination, citation correctness; second rater on a sample</t>
        </is>
      </c>
      <c r="D33" s="4" t="inlineStr"/>
      <c r="E33" s="13" t="inlineStr">
        <is>
          <t>Not started</t>
        </is>
      </c>
    </row>
    <row r="34">
      <c r="A34" s="4" t="n">
        <v>7</v>
      </c>
      <c r="B34" s="4" t="inlineStr">
        <is>
          <t>T33</t>
        </is>
      </c>
      <c r="C34" s="4" t="inlineStr">
        <is>
          <t>Ethics approval confirmed before any participant contact</t>
        </is>
      </c>
      <c r="D34" s="4" t="inlineStr"/>
      <c r="E34" s="13" t="inlineStr">
        <is>
          <t>Not started</t>
        </is>
      </c>
    </row>
    <row r="35">
      <c r="A35" s="6" t="n">
        <v>8</v>
      </c>
      <c r="B35" s="6" t="inlineStr">
        <is>
          <t>T34</t>
        </is>
      </c>
      <c r="C35" s="6" t="inlineStr">
        <is>
          <t>Web front-end: language picker, right-to-left layout, citation cards, last-updated dates</t>
        </is>
      </c>
      <c r="D35" s="6" t="inlineStr"/>
      <c r="E35" s="13" t="inlineStr">
        <is>
          <t>Not started</t>
        </is>
      </c>
    </row>
    <row r="36">
      <c r="A36" s="6" t="n">
        <v>8</v>
      </c>
      <c r="B36" s="6" t="inlineStr">
        <is>
          <t>T35</t>
        </is>
      </c>
      <c r="C36" s="6" t="inlineStr">
        <is>
          <t>Accessibility pass (WCAG 2.2 AA basics, plain-language UI copy)</t>
        </is>
      </c>
      <c r="D36" s="6" t="inlineStr"/>
      <c r="E36" s="13" t="inlineStr">
        <is>
          <t>Not started</t>
        </is>
      </c>
    </row>
    <row r="37">
      <c r="A37" s="6" t="n">
        <v>8</v>
      </c>
      <c r="B37" s="6" t="inlineStr">
        <is>
          <t>T36</t>
        </is>
      </c>
      <c r="C37" s="6" t="inlineStr">
        <is>
          <t>Recruit user study participants</t>
        </is>
      </c>
      <c r="D37" s="6" t="inlineStr"/>
      <c r="E37" s="13" t="inlineStr">
        <is>
          <t>Not started</t>
        </is>
      </c>
    </row>
    <row r="38">
      <c r="A38" s="4" t="n">
        <v>9</v>
      </c>
      <c r="B38" s="4" t="inlineStr">
        <is>
          <t>T37</t>
        </is>
      </c>
      <c r="C38" s="4" t="inlineStr">
        <is>
          <t>Run grounded vs ungrounded on full gold set and score</t>
        </is>
      </c>
      <c r="D38" s="4" t="inlineStr"/>
      <c r="E38" s="13" t="inlineStr">
        <is>
          <t>Not started</t>
        </is>
      </c>
    </row>
    <row r="39">
      <c r="A39" s="4" t="n">
        <v>9</v>
      </c>
      <c r="B39" s="4" t="inlineStr">
        <is>
          <t>T38</t>
        </is>
      </c>
      <c r="C39" s="4" t="inlineStr">
        <is>
          <t>User study sessions and comprehension questionnaire</t>
        </is>
      </c>
      <c r="D39" s="4" t="inlineStr"/>
      <c r="E39" s="13" t="inlineStr">
        <is>
          <t>Not started</t>
        </is>
      </c>
    </row>
    <row r="40">
      <c r="A40" s="4" t="n">
        <v>9</v>
      </c>
      <c r="B40" s="4" t="inlineStr">
        <is>
          <t>T39</t>
        </is>
      </c>
      <c r="C40" s="4" t="inlineStr">
        <is>
          <t>Re-crawl corpus and measure content drift since week 3</t>
        </is>
      </c>
      <c r="D40" s="4" t="inlineStr"/>
      <c r="E40" s="13" t="inlineStr">
        <is>
          <t>Not started</t>
        </is>
      </c>
    </row>
    <row r="41">
      <c r="A41" s="6" t="n">
        <v>10</v>
      </c>
      <c r="B41" s="6" t="inlineStr">
        <is>
          <t>T40</t>
        </is>
      </c>
      <c r="C41" s="6" t="inlineStr">
        <is>
          <t>Statistics, tables, figures; failure-case catalogue</t>
        </is>
      </c>
      <c r="D41" s="6" t="inlineStr"/>
      <c r="E41" s="13" t="inlineStr">
        <is>
          <t>Not started</t>
        </is>
      </c>
    </row>
    <row r="42">
      <c r="A42" s="6" t="n">
        <v>10</v>
      </c>
      <c r="B42" s="6" t="inlineStr">
        <is>
          <t>T41</t>
        </is>
      </c>
      <c r="C42" s="6" t="inlineStr">
        <is>
          <t>Draft results and discussion chapters</t>
        </is>
      </c>
      <c r="D42" s="6" t="inlineStr"/>
      <c r="E42" s="13" t="inlineStr">
        <is>
          <t>Not started</t>
        </is>
      </c>
    </row>
    <row r="43">
      <c r="A43" s="4" t="n">
        <v>11</v>
      </c>
      <c r="B43" s="4" t="inlineStr">
        <is>
          <t>T42</t>
        </is>
      </c>
      <c r="C43" s="4" t="inlineStr">
        <is>
          <t>Draft introduction, literature review, method, ethics and limitations</t>
        </is>
      </c>
      <c r="D43" s="4" t="inlineStr"/>
      <c r="E43" s="13" t="inlineStr">
        <is>
          <t>Not started</t>
        </is>
      </c>
    </row>
    <row r="44">
      <c r="A44" s="4" t="n">
        <v>11</v>
      </c>
      <c r="B44" s="4" t="inlineStr">
        <is>
          <t>T43</t>
        </is>
      </c>
      <c r="C44" s="4" t="inlineStr">
        <is>
          <t>Full draft to supervisor</t>
        </is>
      </c>
      <c r="D44" s="4" t="inlineStr"/>
      <c r="E44" s="13" t="inlineStr">
        <is>
          <t>Not started</t>
        </is>
      </c>
    </row>
    <row r="45">
      <c r="A45" s="6" t="n">
        <v>12</v>
      </c>
      <c r="B45" s="6" t="inlineStr">
        <is>
          <t>T44</t>
        </is>
      </c>
      <c r="C45" s="6" t="inlineStr">
        <is>
          <t>Apply feedback, record demo video, package artefact, submit</t>
        </is>
      </c>
      <c r="D45" s="6" t="inlineStr"/>
      <c r="E45" s="13" t="inlineStr">
        <is>
          <t>Not started</t>
        </is>
      </c>
    </row>
  </sheetData>
  <autoFilter ref="A1:E45"/>
  <dataValidations count="1">
    <dataValidation sqref="E2 E3 E4 E5 E6 E7 E8 E9 E10 E11 E12 E13 E14 E15 E16 E17 E18 E19 E20 E21 E22 E23 E24 E25 E26 E27 E28 E29 E30 E31 E32 E33 E34 E35 E36 E37 E38 E39 E40 E41 E42 E43 E44 E45" showDropDown="0" showInputMessage="0" showErrorMessage="0" allowBlank="0" type="list">
      <formula1>"Not started,In progress,Blocked,Done"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20" customWidth="1" min="1" max="1"/>
    <col width="10" customWidth="1" min="2" max="2"/>
    <col width="9" customWidth="1" min="3" max="3"/>
    <col width="9" customWidth="1" min="4" max="4"/>
    <col width="9" customWidth="1" min="5" max="5"/>
    <col width="9" customWidth="1" min="6" max="6"/>
  </cols>
  <sheetData>
    <row r="1">
      <c r="A1" s="1" t="inlineStr">
        <is>
          <t>Retrieval experiment, 150 queries (30 questions x en/pl/ro/ar/ur)</t>
        </is>
      </c>
    </row>
    <row r="2">
      <c r="A2" s="2" t="inlineStr">
        <is>
          <t>Source: results/retrieval_by_lang.csv. ans@3 = a top-3 chunk contains the verbatim answer phrase (strict lower bound).</t>
        </is>
      </c>
    </row>
    <row r="4" ht="24" customHeight="1">
      <c r="A4" s="3" t="inlineStr">
        <is>
          <t>System</t>
        </is>
      </c>
      <c r="B4" s="3" t="inlineStr">
        <is>
          <t>Language</t>
        </is>
      </c>
      <c r="C4" s="3" t="inlineStr">
        <is>
          <t>hit@1</t>
        </is>
      </c>
      <c r="D4" s="3" t="inlineStr">
        <is>
          <t>hit@3</t>
        </is>
      </c>
      <c r="E4" s="3" t="inlineStr">
        <is>
          <t>MRR@10</t>
        </is>
      </c>
      <c r="F4" s="3" t="inlineStr">
        <is>
          <t>ans@3</t>
        </is>
      </c>
    </row>
    <row r="5">
      <c r="A5" s="4" t="inlineStr">
        <is>
          <t>bm25</t>
        </is>
      </c>
      <c r="B5" s="4" t="inlineStr">
        <is>
          <t>ar</t>
        </is>
      </c>
      <c r="C5" s="14" t="n">
        <v>0.233</v>
      </c>
      <c r="D5" s="14" t="n">
        <v>0.3</v>
      </c>
      <c r="E5" s="14" t="n">
        <v>0.261</v>
      </c>
      <c r="F5" s="14" t="n">
        <v>0.1</v>
      </c>
    </row>
    <row r="6">
      <c r="A6" s="4" t="inlineStr">
        <is>
          <t>bm25</t>
        </is>
      </c>
      <c r="B6" s="4" t="inlineStr">
        <is>
          <t>en</t>
        </is>
      </c>
      <c r="C6" s="14" t="n">
        <v>0.767</v>
      </c>
      <c r="D6" s="14" t="n">
        <v>0.967</v>
      </c>
      <c r="E6" s="14" t="n">
        <v>0.868</v>
      </c>
      <c r="F6" s="14" t="n">
        <v>0.7</v>
      </c>
    </row>
    <row r="7">
      <c r="A7" s="4" t="inlineStr">
        <is>
          <t>bm25</t>
        </is>
      </c>
      <c r="B7" s="4" t="inlineStr">
        <is>
          <t>pl</t>
        </is>
      </c>
      <c r="C7" s="14" t="n">
        <v>0.133</v>
      </c>
      <c r="D7" s="14" t="n">
        <v>0.3</v>
      </c>
      <c r="E7" s="14" t="n">
        <v>0.206</v>
      </c>
      <c r="F7" s="14" t="n">
        <v>0.133</v>
      </c>
    </row>
    <row r="8">
      <c r="A8" s="4" t="inlineStr">
        <is>
          <t>bm25</t>
        </is>
      </c>
      <c r="B8" s="4" t="inlineStr">
        <is>
          <t>ro</t>
        </is>
      </c>
      <c r="C8" s="14" t="n">
        <v>0.133</v>
      </c>
      <c r="D8" s="14" t="n">
        <v>0.133</v>
      </c>
      <c r="E8" s="14" t="n">
        <v>0.171</v>
      </c>
      <c r="F8" s="14" t="n">
        <v>0.1</v>
      </c>
    </row>
    <row r="9">
      <c r="A9" s="4" t="inlineStr">
        <is>
          <t>bm25</t>
        </is>
      </c>
      <c r="B9" s="4" t="inlineStr">
        <is>
          <t>ur</t>
        </is>
      </c>
      <c r="C9" s="14" t="n">
        <v>0.233</v>
      </c>
      <c r="D9" s="14" t="n">
        <v>0.3</v>
      </c>
      <c r="E9" s="14" t="n">
        <v>0.261</v>
      </c>
      <c r="F9" s="14" t="n">
        <v>0.1</v>
      </c>
    </row>
    <row r="10">
      <c r="A10" s="4" t="inlineStr">
        <is>
          <t>e5_naive150</t>
        </is>
      </c>
      <c r="B10" s="4" t="inlineStr">
        <is>
          <t>ar</t>
        </is>
      </c>
      <c r="C10" s="14" t="n">
        <v>0.733</v>
      </c>
      <c r="D10" s="14" t="n">
        <v>0.833</v>
      </c>
      <c r="E10" s="14" t="n">
        <v>0.805</v>
      </c>
      <c r="F10" s="14" t="n">
        <v>0.7</v>
      </c>
    </row>
    <row r="11">
      <c r="A11" s="4" t="inlineStr">
        <is>
          <t>e5_naive150</t>
        </is>
      </c>
      <c r="B11" s="4" t="inlineStr">
        <is>
          <t>en</t>
        </is>
      </c>
      <c r="C11" s="14" t="n">
        <v>0.733</v>
      </c>
      <c r="D11" s="14" t="n">
        <v>0.9330000000000001</v>
      </c>
      <c r="E11" s="14" t="n">
        <v>0.845</v>
      </c>
      <c r="F11" s="14" t="n">
        <v>0.733</v>
      </c>
    </row>
    <row r="12">
      <c r="A12" s="4" t="inlineStr">
        <is>
          <t>e5_naive150</t>
        </is>
      </c>
      <c r="B12" s="4" t="inlineStr">
        <is>
          <t>pl</t>
        </is>
      </c>
      <c r="C12" s="14" t="n">
        <v>0.667</v>
      </c>
      <c r="D12" s="14" t="n">
        <v>0.9330000000000001</v>
      </c>
      <c r="E12" s="14" t="n">
        <v>0.801</v>
      </c>
      <c r="F12" s="14" t="n">
        <v>0.6</v>
      </c>
    </row>
    <row r="13">
      <c r="A13" s="4" t="inlineStr">
        <is>
          <t>e5_naive150</t>
        </is>
      </c>
      <c r="B13" s="4" t="inlineStr">
        <is>
          <t>ro</t>
        </is>
      </c>
      <c r="C13" s="14" t="n">
        <v>0.7</v>
      </c>
      <c r="D13" s="14" t="n">
        <v>0.867</v>
      </c>
      <c r="E13" s="14" t="n">
        <v>0.8</v>
      </c>
      <c r="F13" s="14" t="n">
        <v>0.5669999999999999</v>
      </c>
    </row>
    <row r="14">
      <c r="A14" s="4" t="inlineStr">
        <is>
          <t>e5_naive150</t>
        </is>
      </c>
      <c r="B14" s="4" t="inlineStr">
        <is>
          <t>ur</t>
        </is>
      </c>
      <c r="C14" s="14" t="n">
        <v>0.467</v>
      </c>
      <c r="D14" s="14" t="n">
        <v>0.767</v>
      </c>
      <c r="E14" s="14" t="n">
        <v>0.614</v>
      </c>
      <c r="F14" s="14" t="n">
        <v>0.5669999999999999</v>
      </c>
    </row>
    <row r="15">
      <c r="A15" s="4" t="inlineStr">
        <is>
          <t>e5_sections</t>
        </is>
      </c>
      <c r="B15" s="4" t="inlineStr">
        <is>
          <t>ar</t>
        </is>
      </c>
      <c r="C15" s="14" t="n">
        <v>0.9330000000000001</v>
      </c>
      <c r="D15" s="14" t="n">
        <v>0.967</v>
      </c>
      <c r="E15" s="14" t="n">
        <v>0.958</v>
      </c>
      <c r="F15" s="14" t="n">
        <v>0.733</v>
      </c>
    </row>
    <row r="16">
      <c r="A16" s="4" t="inlineStr">
        <is>
          <t>e5_sections</t>
        </is>
      </c>
      <c r="B16" s="4" t="inlineStr">
        <is>
          <t>en</t>
        </is>
      </c>
      <c r="C16" s="14" t="n">
        <v>0.867</v>
      </c>
      <c r="D16" s="14" t="n">
        <v>1</v>
      </c>
      <c r="E16" s="14" t="n">
        <v>0.9330000000000001</v>
      </c>
      <c r="F16" s="14" t="n">
        <v>0.767</v>
      </c>
    </row>
    <row r="17">
      <c r="A17" s="4" t="inlineStr">
        <is>
          <t>e5_sections</t>
        </is>
      </c>
      <c r="B17" s="4" t="inlineStr">
        <is>
          <t>pl</t>
        </is>
      </c>
      <c r="C17" s="14" t="n">
        <v>0.767</v>
      </c>
      <c r="D17" s="14" t="n">
        <v>1</v>
      </c>
      <c r="E17" s="14" t="n">
        <v>0.878</v>
      </c>
      <c r="F17" s="14" t="n">
        <v>0.7</v>
      </c>
    </row>
    <row r="18">
      <c r="A18" s="4" t="inlineStr">
        <is>
          <t>e5_sections</t>
        </is>
      </c>
      <c r="B18" s="4" t="inlineStr">
        <is>
          <t>ro</t>
        </is>
      </c>
      <c r="C18" s="14" t="n">
        <v>0.8</v>
      </c>
      <c r="D18" s="14" t="n">
        <v>0.9330000000000001</v>
      </c>
      <c r="E18" s="14" t="n">
        <v>0.883</v>
      </c>
      <c r="F18" s="14" t="n">
        <v>0.667</v>
      </c>
    </row>
    <row r="19">
      <c r="A19" s="4" t="inlineStr">
        <is>
          <t>e5_sections</t>
        </is>
      </c>
      <c r="B19" s="4" t="inlineStr">
        <is>
          <t>ur</t>
        </is>
      </c>
      <c r="C19" s="14" t="n">
        <v>0.7</v>
      </c>
      <c r="D19" s="14" t="n">
        <v>0.9</v>
      </c>
      <c r="E19" s="14" t="n">
        <v>0.8139999999999999</v>
      </c>
      <c r="F19" s="14" t="n">
        <v>0.467</v>
      </c>
    </row>
    <row r="20">
      <c r="A20" s="4" t="inlineStr">
        <is>
          <t>minilm_sections</t>
        </is>
      </c>
      <c r="B20" s="4" t="inlineStr">
        <is>
          <t>ar</t>
        </is>
      </c>
      <c r="C20" s="14" t="n">
        <v>0.7</v>
      </c>
      <c r="D20" s="14" t="n">
        <v>0.9330000000000001</v>
      </c>
      <c r="E20" s="14" t="n">
        <v>0.8100000000000001</v>
      </c>
      <c r="F20" s="14" t="n">
        <v>0.733</v>
      </c>
    </row>
    <row r="21">
      <c r="A21" s="4" t="inlineStr">
        <is>
          <t>minilm_sections</t>
        </is>
      </c>
      <c r="B21" s="4" t="inlineStr">
        <is>
          <t>en</t>
        </is>
      </c>
      <c r="C21" s="14" t="n">
        <v>0.867</v>
      </c>
      <c r="D21" s="14" t="n">
        <v>0.967</v>
      </c>
      <c r="E21" s="14" t="n">
        <v>0.916</v>
      </c>
      <c r="F21" s="14" t="n">
        <v>0.8</v>
      </c>
    </row>
    <row r="22">
      <c r="A22" s="4" t="inlineStr">
        <is>
          <t>minilm_sections</t>
        </is>
      </c>
      <c r="B22" s="4" t="inlineStr">
        <is>
          <t>pl</t>
        </is>
      </c>
      <c r="C22" s="14" t="n">
        <v>0.7</v>
      </c>
      <c r="D22" s="14" t="n">
        <v>0.9330000000000001</v>
      </c>
      <c r="E22" s="14" t="n">
        <v>0.8120000000000001</v>
      </c>
      <c r="F22" s="14" t="n">
        <v>0.6</v>
      </c>
    </row>
    <row r="23">
      <c r="A23" s="4" t="inlineStr">
        <is>
          <t>minilm_sections</t>
        </is>
      </c>
      <c r="B23" s="4" t="inlineStr">
        <is>
          <t>ro</t>
        </is>
      </c>
      <c r="C23" s="14" t="n">
        <v>0.767</v>
      </c>
      <c r="D23" s="14" t="n">
        <v>0.967</v>
      </c>
      <c r="E23" s="14" t="n">
        <v>0.864</v>
      </c>
      <c r="F23" s="14" t="n">
        <v>0.667</v>
      </c>
    </row>
    <row r="24">
      <c r="A24" s="4" t="inlineStr">
        <is>
          <t>minilm_sections</t>
        </is>
      </c>
      <c r="B24" s="4" t="inlineStr">
        <is>
          <t>ur</t>
        </is>
      </c>
      <c r="C24" s="14" t="n">
        <v>0.733</v>
      </c>
      <c r="D24" s="14" t="n">
        <v>0.9</v>
      </c>
      <c r="E24" s="14" t="n">
        <v>0.826</v>
      </c>
      <c r="F24" s="14" t="n">
        <v>0.5669999999999999</v>
      </c>
    </row>
    <row r="25">
      <c r="A25" s="8" t="inlineStr">
        <is>
          <t>bm25</t>
        </is>
      </c>
      <c r="B25" s="8" t="inlineStr">
        <is>
          <t>ALL</t>
        </is>
      </c>
      <c r="C25" s="15" t="n">
        <v>0.3</v>
      </c>
      <c r="D25" s="15" t="n">
        <v>0.4</v>
      </c>
      <c r="E25" s="15" t="n">
        <v>0.353</v>
      </c>
      <c r="F25" s="15" t="n">
        <v>0.227</v>
      </c>
    </row>
    <row r="26">
      <c r="A26" s="8" t="inlineStr">
        <is>
          <t>e5_naive150</t>
        </is>
      </c>
      <c r="B26" s="8" t="inlineStr">
        <is>
          <t>ALL</t>
        </is>
      </c>
      <c r="C26" s="15" t="n">
        <v>0.66</v>
      </c>
      <c r="D26" s="15" t="n">
        <v>0.867</v>
      </c>
      <c r="E26" s="15" t="n">
        <v>0.773</v>
      </c>
      <c r="F26" s="15" t="n">
        <v>0.633</v>
      </c>
    </row>
    <row r="27">
      <c r="A27" s="8" t="inlineStr">
        <is>
          <t>e5_sections</t>
        </is>
      </c>
      <c r="B27" s="8" t="inlineStr">
        <is>
          <t>ALL</t>
        </is>
      </c>
      <c r="C27" s="15" t="n">
        <v>0.8129999999999999</v>
      </c>
      <c r="D27" s="15" t="n">
        <v>0.96</v>
      </c>
      <c r="E27" s="15" t="n">
        <v>0.893</v>
      </c>
      <c r="F27" s="15" t="n">
        <v>0.667</v>
      </c>
    </row>
    <row r="28">
      <c r="A28" s="8" t="inlineStr">
        <is>
          <t>minilm_sections</t>
        </is>
      </c>
      <c r="B28" s="8" t="inlineStr">
        <is>
          <t>ALL</t>
        </is>
      </c>
      <c r="C28" s="15" t="n">
        <v>0.753</v>
      </c>
      <c r="D28" s="15" t="n">
        <v>0.9399999999999999</v>
      </c>
      <c r="E28" s="15" t="n">
        <v>0.846</v>
      </c>
      <c r="F28" s="15" t="n">
        <v>0.673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52" customWidth="1" min="1" max="1"/>
    <col width="10" customWidth="1" min="2" max="2"/>
    <col width="40" customWidth="1" min="3" max="3"/>
    <col width="60" customWidth="1" min="4" max="4"/>
  </cols>
  <sheetData>
    <row r="1" ht="24" customHeight="1">
      <c r="A1" s="3" t="inlineStr">
        <is>
          <t>Risk</t>
        </is>
      </c>
      <c r="B1" s="3" t="inlineStr">
        <is>
          <t>Severity</t>
        </is>
      </c>
      <c r="C1" s="3" t="inlineStr">
        <is>
          <t>Evidence</t>
        </is>
      </c>
      <c r="D1" s="3" t="inlineStr">
        <is>
          <t>Mitigation</t>
        </is>
      </c>
    </row>
    <row r="2">
      <c r="A2" s="4" t="inlineStr">
        <is>
          <t>Answer is correct for the wrong UK nation (Scotland/Wales/NI sections)</t>
        </is>
      </c>
      <c r="B2" s="4" t="inlineStr">
        <is>
          <t>High</t>
        </is>
      </c>
      <c r="C2" s="4" t="inlineStr">
        <is>
          <t>Seen in week 4 (school leaving age)</t>
        </is>
      </c>
      <c r="D2" s="4" t="inlineStr">
        <is>
          <t>Tag chunks by nation, filter to England, show jurisdiction in UI (T21)</t>
        </is>
      </c>
    </row>
    <row r="3">
      <c r="A3" s="4" t="inlineStr">
        <is>
          <t>Official page changes after crawl (e.g. Renters' Rights Act from 1 May 2026)</t>
        </is>
      </c>
      <c r="B3" s="4" t="inlineStr">
        <is>
          <t>High</t>
        </is>
      </c>
      <c r="C3" s="4" t="inlineStr">
        <is>
          <t>public_updated_at did not reflect the 2026 changes</t>
        </is>
      </c>
      <c r="D3" s="4" t="inlineStr">
        <is>
          <t>Store fetch date, show it with every citation, re-crawl and measure drift (T39)</t>
        </is>
      </c>
    </row>
    <row r="4">
      <c r="A4" s="4" t="inlineStr">
        <is>
          <t>Author-written translations bias the multilingual test set</t>
        </is>
      </c>
      <c r="B4" s="4" t="inlineStr">
        <is>
          <t>Medium</t>
        </is>
      </c>
      <c r="C4" s="4" t="inlineStr">
        <is>
          <t>All non-English queries unverified</t>
        </is>
      </c>
      <c r="D4" s="4" t="inlineStr">
        <is>
          <t>Native-speaker check before reporting final numbers (T22)</t>
        </is>
      </c>
    </row>
    <row r="5">
      <c r="A5" s="4" t="inlineStr">
        <is>
          <t>Right page retrieved but not the answering section</t>
        </is>
      </c>
      <c r="B5" s="4" t="inlineStr">
        <is>
          <t>Medium</t>
        </is>
      </c>
      <c r="C5" s="4" t="inlineStr">
        <is>
          <t>hit@3 0.96 vs ans@3 0.67</t>
        </is>
      </c>
      <c r="D5" s="4" t="inlineStr">
        <is>
          <t>Reranker, better chunking, graded relevance judgments (T25, T32)</t>
        </is>
      </c>
    </row>
    <row r="6">
      <c r="A6" s="4" t="inlineStr">
        <is>
          <t>Ethics approval delays the user study</t>
        </is>
      </c>
      <c r="B6" s="4" t="inlineStr">
        <is>
          <t>Medium</t>
        </is>
      </c>
      <c r="C6" s="4" t="inlineStr">
        <is>
          <t>Study planned for week 9</t>
        </is>
      </c>
      <c r="D6" s="4" t="inlineStr">
        <is>
          <t>Submit early; fall back to expert review if not approved</t>
        </is>
      </c>
    </row>
    <row r="7">
      <c r="A7" s="4" t="inlineStr">
        <is>
          <t>NLLB licence is non-commercial</t>
        </is>
      </c>
      <c r="B7" s="4" t="inlineStr">
        <is>
          <t>Low</t>
        </is>
      </c>
      <c r="C7" s="4" t="inlineStr">
        <is>
          <t>CC-BY-NC-4.0</t>
        </is>
      </c>
      <c r="D7" s="4" t="inlineStr">
        <is>
          <t>Acceptable for research; note in deployment recommendations</t>
        </is>
      </c>
    </row>
    <row r="8">
      <c r="A8" s="4" t="inlineStr">
        <is>
          <t>Council-specific rules (admissions dates, housing) live on 300+ council sites</t>
        </is>
      </c>
      <c r="B8" s="4" t="inlineStr">
        <is>
          <t>Medium</t>
        </is>
      </c>
      <c r="C8" s="4" t="inlineStr">
        <is>
          <t>GOV.UK local_transaction pages only redirect</t>
        </is>
      </c>
      <c r="D8" s="4" t="inlineStr">
        <is>
          <t>Assistant points users to their council; optional single-council case study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2026-10-28T10:15:36Z</dcterms:created>
  <dcterms:modified xsi:type="dcterms:W3CDTF">2026-10-28T10:15:36Z</dcterms:modified>
</cp:coreProperties>
</file>